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ority ladder" sheetId="1" state="visible" r:id="rId3"/>
    <sheet name="Free (no $)" sheetId="2" state="visible" r:id="rId4"/>
    <sheet name="Paid ($)" sheetId="3" state="visible" r:id="rId5"/>
    <sheet name="Phased budge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<sst xmlns="http://schemas.openxmlformats.org/spreadsheetml/2006/main" count="487" uniqueCount="337">
  <si>
    <t xml:space="preserve">#</t>
  </si>
  <si>
    <t xml:space="preserve">Action</t>
  </si>
  <si>
    <t xml:space="preserve">Cost</t>
  </si>
  <si>
    <t xml:space="preserve">Impact</t>
  </si>
  <si>
    <t xml:space="preserve">Effort</t>
  </si>
  <si>
    <t xml:space="preserve">Why this order</t>
  </si>
  <si>
    <t xml:space="preserve">Per-profile Open Graph cards</t>
  </si>
  <si>
    <t xml:space="preserve">$0</t>
  </si>
  <si>
    <t xml:space="preserve">Highest</t>
  </si>
  <si>
    <t xml:space="preserve">2-3 hrs</t>
  </si>
  <si>
    <t xml:space="preserve">Every share becomes free marketing. Single biggest lever.</t>
  </si>
  <si>
    <t xml:space="preserve">robots.txt + sitemap.ts + canonical URLs</t>
  </si>
  <si>
    <t xml:space="preserve">1 hr</t>
  </si>
  <si>
    <t xml:space="preserve">Nothing else SEO matters until Google can crawl + dedupe.</t>
  </si>
  <si>
    <t xml:space="preserve">Google Search Console + Bing</t>
  </si>
  <si>
    <t xml:space="preserve">High</t>
  </si>
  <si>
    <t xml:space="preserve">30 min</t>
  </si>
  <si>
    <t xml:space="preserve">Free ranking data + alerts. Foundation for all SEO loops.</t>
  </si>
  <si>
    <t xml:space="preserve">Schema.org JSON-LD (Org + WebSite + SoftwareApp)</t>
  </si>
  <si>
    <t xml:space="preserve">Drives knowledge panel + rich results.</t>
  </si>
  <si>
    <t xml:space="preserve">GA4 + 5 named conversions</t>
  </si>
  <si>
    <t xml:space="preserve">Without attribution, every channel choice is a guess.</t>
  </si>
  <si>
    <t xml:space="preserve">Claim all social handles + identical bios</t>
  </si>
  <si>
    <t xml:space="preserve">Medium</t>
  </si>
  <si>
    <t xml:space="preserve">2 hrs</t>
  </si>
  <si>
    <t xml:space="preserve">Cheap insurance against impersonation; cross-platform recs.</t>
  </si>
  <si>
    <t xml:space="preserve">Microsoft Store PWA + Google Play TWA</t>
  </si>
  <si>
    <t xml:space="preserve">$25 once</t>
  </si>
  <si>
    <t xml:space="preserve">1-2 hrs</t>
  </si>
  <si>
    <t xml:space="preserve">Two store listings nearly free.</t>
  </si>
  <si>
    <t xml:space="preserve">Public-profile opt-in + programmatic SEO</t>
  </si>
  <si>
    <t xml:space="preserve">Highest (compounds)</t>
  </si>
  <si>
    <t xml:space="preserve">1 day</t>
  </si>
  <si>
    <t xml:space="preserve">Each public profile = indexable page. 5k profiles = 5k pages.</t>
  </si>
  <si>
    <t xml:space="preserve">Blog + 4-article cluster launch</t>
  </si>
  <si>
    <t xml:space="preserve">1-2 wks</t>
  </si>
  <si>
    <t xml:space="preserve">Owns 'dating for creatives' SERPs before competitors notice.</t>
  </si>
  <si>
    <t xml:space="preserve">Resend lifecycle emails (welcome + reengagement)</t>
  </si>
  <si>
    <t xml:space="preserve">$0 (then $20/mo)</t>
  </si>
  <si>
    <t xml:space="preserve">1 wk</t>
  </si>
  <si>
    <t xml:space="preserve">Recovers paid subscribers from churn. Free at first.</t>
  </si>
  <si>
    <t xml:space="preserve">Influencer outreach (trade premium for posts)</t>
  </si>
  <si>
    <t xml:space="preserve">$0 cash</t>
  </si>
  <si>
    <t xml:space="preserve">Ongoing</t>
  </si>
  <si>
    <t xml:space="preserve">Solo founder advantage. VCs can't do this credibly.</t>
  </si>
  <si>
    <t xml:space="preserve">Product Hunt launch</t>
  </si>
  <si>
    <t xml:space="preserve">High (one shot)</t>
  </si>
  <si>
    <t xml:space="preserve">4 wks prep</t>
  </si>
  <si>
    <t xml:space="preserve">3-5k visitors in one day if executed. Plan ruthlessly.</t>
  </si>
  <si>
    <t xml:space="preserve">First paid ad test (Reddit, $10/day)</t>
  </si>
  <si>
    <t xml:space="preserve">$300/mo</t>
  </si>
  <si>
    <t xml:space="preserve">2 hrs setup</t>
  </si>
  <si>
    <t xml:space="preserve">Cheaper CPMs than Meta. Niche audience match.</t>
  </si>
  <si>
    <t xml:space="preserve">Meta + TikTok boosts on org. winners</t>
  </si>
  <si>
    <t xml:space="preserve">$1200/mo</t>
  </si>
  <si>
    <t xml:space="preserve">Medium-High</t>
  </si>
  <si>
    <t xml:space="preserve">Only after organic signal is real. Boost winners, not cold creative.</t>
  </si>
  <si>
    <t xml:space="preserve">iOS Capacitor build</t>
  </si>
  <si>
    <t xml:space="preserve">$99/yr + 2-4 wks</t>
  </si>
  <si>
    <t xml:space="preserve">Big lift</t>
  </si>
  <si>
    <t xml:space="preserve">Only after 1k+ web users — Apple reviews are brutal on thin DAU.</t>
  </si>
  <si>
    <t xml:space="preserve">Wave</t>
  </si>
  <si>
    <t xml:space="preserve">Category</t>
  </si>
  <si>
    <t xml:space="preserve">Time cost</t>
  </si>
  <si>
    <t xml:space="preserve">Why it matters</t>
  </si>
  <si>
    <t xml:space="preserve">Done?</t>
  </si>
  <si>
    <t xml:space="preserve">Technical SEO</t>
  </si>
  <si>
    <t xml:space="preserve">Create /public/robots.txt</t>
  </si>
  <si>
    <t xml:space="preserve">5 min</t>
  </si>
  <si>
    <t xml:space="preserve">Tells crawlers what to index. One-line file.</t>
  </si>
  <si>
    <t xml:space="preserve">Build app/sitemap.ts (Next 16 convention)</t>
  </si>
  <si>
    <t xml:space="preserve">Lets Google find every public page automatically.</t>
  </si>
  <si>
    <t xml:space="preserve">Add canonical URLs via metadata API</t>
  </si>
  <si>
    <t xml:space="preserve">20 min</t>
  </si>
  <si>
    <t xml:space="preserve">Prevents www/non-www duplicate-content penalties.</t>
  </si>
  <si>
    <t xml:space="preserve">Force www redirect in next.config.ts</t>
  </si>
  <si>
    <t xml:space="preserve">10 min</t>
  </si>
  <si>
    <t xml:space="preserve">One host = clean SEO juice, no DNS surprises.</t>
  </si>
  <si>
    <t xml:space="preserve">Confirm HTTPS everywhere (Vercel handles)</t>
  </si>
  <si>
    <t xml:space="preserve">Required for trust + Google rankings.</t>
  </si>
  <si>
    <t xml:space="preserve">PageSpeed audit + fix below-90 mobile scores</t>
  </si>
  <si>
    <t xml:space="preserve">1-3 hrs</t>
  </si>
  <si>
    <t xml:space="preserve">Core Web Vitals = ranking factor.</t>
  </si>
  <si>
    <t xml:space="preserve">Open Graph</t>
  </si>
  <si>
    <t xml:space="preserve">Audit existing app/opengraph-image.tsx renders</t>
  </si>
  <si>
    <t xml:space="preserve">15 min</t>
  </si>
  <si>
    <t xml:space="preserve">Default share card across all generic links.</t>
  </si>
  <si>
    <t xml:space="preserve">Build app/profile/[username]/opengraph-image.tsx</t>
  </si>
  <si>
    <t xml:space="preserve">BIGGEST single lever — every share = free marketing.</t>
  </si>
  <si>
    <t xml:space="preserve">Add twitter card metadata to root layout</t>
  </si>
  <si>
    <t xml:space="preserve">Wide hero card instead of tiny thumbnail on X.</t>
  </si>
  <si>
    <t xml:space="preserve">Validate via opengraph.xyz, Twitter Card Validator</t>
  </si>
  <si>
    <t xml:space="preserve">Catches broken cards before users see them.</t>
  </si>
  <si>
    <t xml:space="preserve">Search Console</t>
  </si>
  <si>
    <t xml:space="preserve">Verify mitypeapp.com via DNS</t>
  </si>
  <si>
    <t xml:space="preserve">Free Google index data + alerts.</t>
  </si>
  <si>
    <t xml:space="preserve">Submit sitemap.xml</t>
  </si>
  <si>
    <t xml:space="preserve">2 min</t>
  </si>
  <si>
    <t xml:space="preserve">Speeds up indexing dramatically.</t>
  </si>
  <si>
    <t xml:space="preserve">Run URL Inspection on homepage + 1 profile</t>
  </si>
  <si>
    <t xml:space="preserve">Catches client-side rendering blocks.</t>
  </si>
  <si>
    <t xml:space="preserve">Set US international targeting</t>
  </si>
  <si>
    <t xml:space="preserve">Prioritizes US results.</t>
  </si>
  <si>
    <t xml:space="preserve">Wire up email alerts</t>
  </si>
  <si>
    <t xml:space="preserve">Free monitoring for indexing/security issues.</t>
  </si>
  <si>
    <t xml:space="preserve">Bing Webmaster</t>
  </si>
  <si>
    <t xml:space="preserve">Add site (import from Google)</t>
  </si>
  <si>
    <t xml:space="preserve">Bing + DuckDuckGo + ChatGPT search coverage.</t>
  </si>
  <si>
    <t xml:space="preserve">Schema.org</t>
  </si>
  <si>
    <t xml:space="preserve">Add Organization JSON-LD</t>
  </si>
  <si>
    <t xml:space="preserve">Drives Google knowledge panel for 'mitype' searches.</t>
  </si>
  <si>
    <t xml:space="preserve">Add WebSite + SearchAction JSON-LD</t>
  </si>
  <si>
    <t xml:space="preserve">Embeds search box in Google results.</t>
  </si>
  <si>
    <t xml:space="preserve">Add SoftwareApplication JSON-LD</t>
  </si>
  <si>
    <t xml:space="preserve">Lets Google show install/launch CTAs.</t>
  </si>
  <si>
    <t xml:space="preserve">Add Person JSON-LD on opt-in profile pages</t>
  </si>
  <si>
    <t xml:space="preserve">Each public profile becomes a rich result.</t>
  </si>
  <si>
    <t xml:space="preserve">Analytics</t>
  </si>
  <si>
    <t xml:space="preserve">Install GA4 with strategy=afterInteractive</t>
  </si>
  <si>
    <t xml:space="preserve">Free, deep funnel data.</t>
  </si>
  <si>
    <t xml:space="preserve">Configure 5 conversion events (signup, profile, match, msg, sub)</t>
  </si>
  <si>
    <t xml:space="preserve">Without these, channel attribution is impossible.</t>
  </si>
  <si>
    <t xml:space="preserve">Install Vercel Analytics or Plausible (free tier)</t>
  </si>
  <si>
    <t xml:space="preserve">Daily glance dashboard.</t>
  </si>
  <si>
    <t xml:space="preserve">Build canonical UTM tag spreadsheet + tag every link</t>
  </si>
  <si>
    <t xml:space="preserve">Untagged traffic = black hole.</t>
  </si>
  <si>
    <t xml:space="preserve">Add referral_source column to profiles table</t>
  </si>
  <si>
    <t xml:space="preserve">Stripe → signup attribution loop.</t>
  </si>
  <si>
    <t xml:space="preserve">Social handles</t>
  </si>
  <si>
    <t xml:space="preserve">Claim @mitype, @mitypeapp, @getmitype on IG/TikTok/X/LinkedIn/YouTube/Threads/Bluesky</t>
  </si>
  <si>
    <t xml:space="preserve">Prevents impersonation; buys optionality.</t>
  </si>
  <si>
    <t xml:space="preserve">Set identical bio + link across all platforms</t>
  </si>
  <si>
    <t xml:space="preserve">Algorithms recommend you to each other's users.</t>
  </si>
  <si>
    <t xml:space="preserve">App stores</t>
  </si>
  <si>
    <t xml:space="preserve">Submit PWA to Microsoft Store via PWA Builder</t>
  </si>
  <si>
    <t xml:space="preserve">Free store listing from your existing manifest.</t>
  </si>
  <si>
    <t xml:space="preserve">Social content</t>
  </si>
  <si>
    <t xml:space="preserve">Batch-shoot Sunday TikTok/Reels content</t>
  </si>
  <si>
    <t xml:space="preserve">2-3 hrs/wk</t>
  </si>
  <si>
    <t xml:space="preserve">5-7 short videos/wk, organic reach engine.</t>
  </si>
  <si>
    <t xml:space="preserve">Cross-post TikTok → YouTube Shorts</t>
  </si>
  <si>
    <t xml:space="preserve">5 min/post</t>
  </si>
  <si>
    <t xml:space="preserve">Free distribution; old vids earn forever.</t>
  </si>
  <si>
    <t xml:space="preserve">1-2 X posts/day + reply to bigger accounts</t>
  </si>
  <si>
    <t xml:space="preserve">20 min/day</t>
  </si>
  <si>
    <t xml:space="preserve">Indie hacker + tech press lurk here.</t>
  </si>
  <si>
    <t xml:space="preserve">1 LinkedIn long post/week</t>
  </si>
  <si>
    <t xml:space="preserve">30 min/wk</t>
  </si>
  <si>
    <t xml:space="preserve">Press + investors lurk here.</t>
  </si>
  <si>
    <t xml:space="preserve">Reddit</t>
  </si>
  <si>
    <t xml:space="preserve">Comment on 5+ posts/wk in target subs (no promo)</t>
  </si>
  <si>
    <t xml:space="preserve">Mods sniff drive-by promo from orbit.</t>
  </si>
  <si>
    <t xml:space="preserve">Post to weekly r/SideProject / r/IndieDev show-off threads</t>
  </si>
  <si>
    <t xml:space="preserve">Allowed self-promo; high quality traffic.</t>
  </si>
  <si>
    <t xml:space="preserve">Discord</t>
  </si>
  <si>
    <t xml:space="preserve">Become active in 3-4 creative discords</t>
  </si>
  <si>
    <t xml:space="preserve">30 min/day</t>
  </si>
  <si>
    <t xml:space="preserve">Most allow self-promo for active members.</t>
  </si>
  <si>
    <t xml:space="preserve">Product Hunt</t>
  </si>
  <si>
    <t xml:space="preserve">Build hunter list of 50+ committed upvoters</t>
  </si>
  <si>
    <t xml:space="preserve">First 4 hours determine the day.</t>
  </si>
  <si>
    <t xml:space="preserve">Prepare assets (30s demo, 6 images, tagline)</t>
  </si>
  <si>
    <t xml:space="preserve">1-2 days</t>
  </si>
  <si>
    <t xml:space="preserve">Required for a credible launch.</t>
  </si>
  <si>
    <t xml:space="preserve">Launch day: respond within 5 min for first 6 hrs</t>
  </si>
  <si>
    <t xml:space="preserve">Full day</t>
  </si>
  <si>
    <t xml:space="preserve">Highest-ROI day of the year if executed.</t>
  </si>
  <si>
    <t xml:space="preserve">Content/SEO</t>
  </si>
  <si>
    <t xml:space="preserve">Set up /blog as subpath of mitypeapp.com</t>
  </si>
  <si>
    <t xml:space="preserve">Subpath &gt; subdomain for SEO juice.</t>
  </si>
  <si>
    <t xml:space="preserve">Publish 1 article/wk in topic clusters (1500-2500 words)</t>
  </si>
  <si>
    <t xml:space="preserve">4-6 hrs/wk</t>
  </si>
  <si>
    <t xml:space="preserve">Owns 'dating for creatives' SERP cluster.</t>
  </si>
  <si>
    <t xml:space="preserve">Internal-link 3+ articles + 2 product pages per post</t>
  </si>
  <si>
    <t xml:space="preserve">Per article</t>
  </si>
  <si>
    <t xml:space="preserve">How Google figures out what's important.</t>
  </si>
  <si>
    <t xml:space="preserve">Programmatic SEO</t>
  </si>
  <si>
    <t xml:space="preserve">Add 'public profile' opt-in toggle</t>
  </si>
  <si>
    <t xml:space="preserve">Each public profile = indexable page.</t>
  </si>
  <si>
    <t xml:space="preserve">Server-render public profiles with full schema markup</t>
  </si>
  <si>
    <t xml:space="preserve">3-4 hrs</t>
  </si>
  <si>
    <t xml:space="preserve">Required for Google to see them.</t>
  </si>
  <si>
    <t xml:space="preserve">Build /discover/[city] and /discover/[category] index pages</t>
  </si>
  <si>
    <t xml:space="preserve">Pure programmatic SEO surface.</t>
  </si>
  <si>
    <t xml:space="preserve">Submit new public profiles via IndexNow API</t>
  </si>
  <si>
    <t xml:space="preserve">Faster Bing/Yandex indexing, free.</t>
  </si>
  <si>
    <t xml:space="preserve">Press/PR</t>
  </si>
  <si>
    <t xml:space="preserve">Pitch Indie Hackers, Lenny's Newsletter, niche press</t>
  </si>
  <si>
    <t xml:space="preserve">Free, high-quality readership.</t>
  </si>
  <si>
    <t xml:space="preserve">Submit Show HN once when product is genuinely good</t>
  </si>
  <si>
    <t xml:space="preserve">2 hrs prep</t>
  </si>
  <si>
    <t xml:space="preserve">One shot — pick Tuesday AM Pacific.</t>
  </si>
  <si>
    <t xml:space="preserve">Pitch It's Nice That, AIGA, PetaPixel, Designer News</t>
  </si>
  <si>
    <t xml:space="preserve">1 hr/pitch</t>
  </si>
  <si>
    <t xml:space="preserve">Smaller readership but exactly your people.</t>
  </si>
  <si>
    <t xml:space="preserve">Influencers</t>
  </si>
  <si>
    <t xml:space="preserve">Build 100-prospect outreach spreadsheet</t>
  </si>
  <si>
    <t xml:space="preserve">10 DMs/day target.</t>
  </si>
  <si>
    <t xml:space="preserve">DM Tier 1 (50k+) lifetime premium + creator badge</t>
  </si>
  <si>
    <t xml:space="preserve">20 min/DM</t>
  </si>
  <si>
    <t xml:space="preserve">Trade access for reach. No cash.</t>
  </si>
  <si>
    <t xml:space="preserve">DM Tier 2 (5-50k) 6 months free + early access</t>
  </si>
  <si>
    <t xml:space="preserve">Best per-dollar conversion tier.</t>
  </si>
  <si>
    <t xml:space="preserve">Stand up 'first 100 creators' program</t>
  </si>
  <si>
    <t xml:space="preserve">Superusers who become evangelists.</t>
  </si>
  <si>
    <t xml:space="preserve">Backlinks</t>
  </si>
  <si>
    <t xml:space="preserve">Submit to Crunchbase, AngelList, BetaList, F6S, AppAdvice</t>
  </si>
  <si>
    <t xml:space="preserve">Free authoritative directory backlinks.</t>
  </si>
  <si>
    <t xml:space="preserve">HARO / Help A B2B Writer responses</t>
  </si>
  <si>
    <t xml:space="preserve">Get quoted in major publications free.</t>
  </si>
  <si>
    <t xml:space="preserve">Pitch 3 podcast appearances</t>
  </si>
  <si>
    <t xml:space="preserve">Show notes backlink + audience exposure.</t>
  </si>
  <si>
    <t xml:space="preserve">Trust signals</t>
  </si>
  <si>
    <t xml:space="preserve">Add /safety page (verification, harassment, reporting)</t>
  </si>
  <si>
    <t xml:space="preserve">Press hook + Google trust factor.</t>
  </si>
  <si>
    <t xml:space="preserve">Add /about page with founder bio + photo</t>
  </si>
  <si>
    <t xml:space="preserve">Faceless apps look like scams; one face fixes it.</t>
  </si>
  <si>
    <t xml:space="preserve">Link Privacy + Terms in footer of every page</t>
  </si>
  <si>
    <t xml:space="preserve">Trust signal + legal protection.</t>
  </si>
  <si>
    <t xml:space="preserve">Add testimonial section to homepage (3-5 quotes)</t>
  </si>
  <si>
    <t xml:space="preserve">Social proof above the fold.</t>
  </si>
  <si>
    <t xml:space="preserve">Add 'As seen in [logo]' strip after first press hit</t>
  </si>
  <si>
    <t xml:space="preserve">Even one logo doubles trust.</t>
  </si>
  <si>
    <t xml:space="preserve">Reviews</t>
  </si>
  <si>
    <t xml:space="preserve">Build in-product 'how's it going?' prompt at 30 days + 1 match</t>
  </si>
  <si>
    <t xml:space="preserve">3 hrs</t>
  </si>
  <si>
    <t xml:space="preserve">Highest-ROI testimonial source you can build.</t>
  </si>
  <si>
    <t xml:space="preserve">Pipe positive responses to /testimonials page</t>
  </si>
  <si>
    <t xml:space="preserve">Living social proof.</t>
  </si>
  <si>
    <t xml:space="preserve">Submit to Trustpilot (free listing)</t>
  </si>
  <si>
    <t xml:space="preserve">Reviews show in Google rich results.</t>
  </si>
  <si>
    <t xml:space="preserve">Submit to G2/Capterra at 1k+ users</t>
  </si>
  <si>
    <t xml:space="preserve">Surface in B2B-adjacent queries.</t>
  </si>
  <si>
    <t xml:space="preserve">Submit to top-5-ranking 'best dating app' listicles</t>
  </si>
  <si>
    <t xml:space="preserve">Some free, some paid (only pay top-5).</t>
  </si>
  <si>
    <t xml:space="preserve">Brand</t>
  </si>
  <si>
    <t xml:space="preserve">Quarterly brand audit: logo/tagline/color/voice consistency</t>
  </si>
  <si>
    <t xml:space="preserve">2 hrs/qtr</t>
  </si>
  <si>
    <t xml:space="preserve">Brand = same thing in 10 places.</t>
  </si>
  <si>
    <t xml:space="preserve">Metrics</t>
  </si>
  <si>
    <t xml:space="preserve">Monthly dashboard review (1st Mon of month)</t>
  </si>
  <si>
    <t xml:space="preserve">30 min/mo</t>
  </si>
  <si>
    <t xml:space="preserve">Catches drift before it compounds.</t>
  </si>
  <si>
    <t xml:space="preserve">Cost type</t>
  </si>
  <si>
    <t xml:space="preserve">Setup ($)</t>
  </si>
  <si>
    <t xml:space="preserve">Monthly ($)</t>
  </si>
  <si>
    <t xml:space="preserve">When to spend</t>
  </si>
  <si>
    <t xml:space="preserve">Notes</t>
  </si>
  <si>
    <t xml:space="preserve">Google Play TWA via PWA Builder</t>
  </si>
  <si>
    <t xml:space="preserve">One-time</t>
  </si>
  <si>
    <t xml:space="preserve">Wave 2 (this month)</t>
  </si>
  <si>
    <t xml:space="preserve">Play Console developer fee. Lifetime.</t>
  </si>
  <si>
    <t xml:space="preserve">Apple Developer Program</t>
  </si>
  <si>
    <t xml:space="preserve">Annual</t>
  </si>
  <si>
    <t xml:space="preserve">After 1k+ web users</t>
  </si>
  <si>
    <t xml:space="preserve">$99/yr — only if doing iOS Capacitor build.</t>
  </si>
  <si>
    <t xml:space="preserve">iOS Capacitor build (contractor or self)</t>
  </si>
  <si>
    <t xml:space="preserve">Q3-Q4</t>
  </si>
  <si>
    <t xml:space="preserve">$0 if DIY (~2-4 wks); $3-5k if contracted.</t>
  </si>
  <si>
    <t xml:space="preserve">Email</t>
  </si>
  <si>
    <t xml:space="preserve">Resend (free tier covers &lt;3k emails/mo)</t>
  </si>
  <si>
    <t xml:space="preserve">Free → paid at scale</t>
  </si>
  <si>
    <t xml:space="preserve">Wave 2</t>
  </si>
  <si>
    <t xml:space="preserve">Free for first 3,000/mo, then $20/mo for 50k.</t>
  </si>
  <si>
    <t xml:space="preserve">Resend Pro (50k emails/mo)</t>
  </si>
  <si>
    <t xml:space="preserve">Monthly</t>
  </si>
  <si>
    <t xml:space="preserve">When &gt;3k/mo</t>
  </si>
  <si>
    <t xml:space="preserve">Tier scales linearly with volume.</t>
  </si>
  <si>
    <t xml:space="preserve">Press tooling</t>
  </si>
  <si>
    <t xml:space="preserve">Press release distribution (PR Newswire / EIN)</t>
  </si>
  <si>
    <t xml:space="preserve">Per release</t>
  </si>
  <si>
    <t xml:space="preserve">Only on real news</t>
  </si>
  <si>
    <t xml:space="preserve">Skip until 100k+ users milestone.</t>
  </si>
  <si>
    <t xml:space="preserve">Sponsor small creative newsletter (1 slot/mo)</t>
  </si>
  <si>
    <t xml:space="preserve">Month 3+</t>
  </si>
  <si>
    <t xml:space="preserve">$100-300/sponsorship; pick newsletters w/ backlink.</t>
  </si>
  <si>
    <t xml:space="preserve">Paid ads</t>
  </si>
  <si>
    <t xml:space="preserve">Meta (Instagram + Facebook) test</t>
  </si>
  <si>
    <t xml:space="preserve">After 500-1k organic signups</t>
  </si>
  <si>
    <t xml:space="preserve">$20/day. Boost top-performing organic Reels.</t>
  </si>
  <si>
    <t xml:space="preserve">TikTok Ads (boost organic winners)</t>
  </si>
  <si>
    <t xml:space="preserve">After 50k+ org. video views</t>
  </si>
  <si>
    <t xml:space="preserve">$20/day. Never run cold creative on TikTok.</t>
  </si>
  <si>
    <t xml:space="preserve">Reddit Ads</t>
  </si>
  <si>
    <t xml:space="preserve">$10/day. r/photography, r/Design, r/illustrators.</t>
  </si>
  <si>
    <t xml:space="preserve">Google Search (long-tail only)</t>
  </si>
  <si>
    <t xml:space="preserve">$30/day cap. Avoid 'dating app' head term.</t>
  </si>
  <si>
    <t xml:space="preserve">Trustpilot (paid tier for invitations)</t>
  </si>
  <si>
    <t xml:space="preserve">After 500+ subs</t>
  </si>
  <si>
    <t xml:space="preserve">Free listing exists; paid adds invitation flow.</t>
  </si>
  <si>
    <t xml:space="preserve">Premium directory listing (paid 'best of' lists)</t>
  </si>
  <si>
    <t xml:space="preserve">Per listing</t>
  </si>
  <si>
    <t xml:space="preserve">Only if site ranks top-5 in Google</t>
  </si>
  <si>
    <t xml:space="preserve">Skip pay-for-placement scams.</t>
  </si>
  <si>
    <t xml:space="preserve">SEO tools</t>
  </si>
  <si>
    <t xml:space="preserve">Ahrefs / Semrush (Lite plan)</t>
  </si>
  <si>
    <t xml:space="preserve">Optional — free Search Console covers 80%.</t>
  </si>
  <si>
    <t xml:space="preserve">Ubersuggest (cheaper alternative)</t>
  </si>
  <si>
    <t xml:space="preserve">Lite-touch keyword research.</t>
  </si>
  <si>
    <t xml:space="preserve">Infrastructure</t>
  </si>
  <si>
    <t xml:space="preserve">Vercel Pro (when bandwidth needed)</t>
  </si>
  <si>
    <t xml:space="preserve">Now or at scale</t>
  </si>
  <si>
    <t xml:space="preserve">Free tier covers ~100GB/mo.</t>
  </si>
  <si>
    <t xml:space="preserve">Supabase Pro (when free tier maxes)</t>
  </si>
  <si>
    <t xml:space="preserve">At ~5k MAU</t>
  </si>
  <si>
    <t xml:space="preserve">Free tier covers small launches.</t>
  </si>
  <si>
    <t xml:space="preserve">Sentry Team</t>
  </si>
  <si>
    <t xml:space="preserve">Now (already on)</t>
  </si>
  <si>
    <t xml:space="preserve">5k errors/mo + perf monitoring.</t>
  </si>
  <si>
    <t xml:space="preserve">Domain (mitypeapp.com)</t>
  </si>
  <si>
    <t xml:space="preserve">Now (already paid)</t>
  </si>
  <si>
    <t xml:space="preserve">~$12-15/yr typical.</t>
  </si>
  <si>
    <t xml:space="preserve">TOTALS</t>
  </si>
  <si>
    <t xml:space="preserve">Phase</t>
  </si>
  <si>
    <t xml:space="preserve">Description</t>
  </si>
  <si>
    <t xml:space="preserve">Annualized ($)</t>
  </si>
  <si>
    <t xml:space="preserve">Week 1 (foundation)</t>
  </si>
  <si>
    <t xml:space="preserve">All free items above. Domain already paid.</t>
  </si>
  <si>
    <t xml:space="preserve">Foundation is $0 cash.</t>
  </si>
  <si>
    <t xml:space="preserve">Month 1 (launch)</t>
  </si>
  <si>
    <t xml:space="preserve">Google Play TWA fee only.</t>
  </si>
  <si>
    <t xml:space="preserve">$25 one-time. Everything else free.</t>
  </si>
  <si>
    <t xml:space="preserve">Month 2-3 (lifecycle)</t>
  </si>
  <si>
    <t xml:space="preserve">Resend free tier (&lt;3k/mo emails).</t>
  </si>
  <si>
    <t xml:space="preserve">Email still free at this volume.</t>
  </si>
  <si>
    <t xml:space="preserve">Month 3+ (growth)</t>
  </si>
  <si>
    <t xml:space="preserve">Email Pro + Reddit Ads small test.</t>
  </si>
  <si>
    <t xml:space="preserve">$20 Resend + $300 Reddit.</t>
  </si>
  <si>
    <t xml:space="preserve">Month 4+ (paid acq.)</t>
  </si>
  <si>
    <t xml:space="preserve">Add Meta + TikTok boosts (after org. signal).</t>
  </si>
  <si>
    <t xml:space="preserve">$320 + $600 Meta + $600 TikTok.</t>
  </si>
  <si>
    <t xml:space="preserve">Month 6+ (full stack)</t>
  </si>
  <si>
    <t xml:space="preserve">Add Google Search + 1 newsletter sponsor.</t>
  </si>
  <si>
    <t xml:space="preserve">$1520 + $900 Google + $200 sponsor.</t>
  </si>
  <si>
    <t xml:space="preserve">Month 12+ (scale)</t>
  </si>
  <si>
    <t xml:space="preserve">Add Apple Dev + iOS build + Trustpilot.</t>
  </si>
  <si>
    <t xml:space="preserve">$99 Apple + $250 Trustpilot.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</si>
</sst>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A1208"/>
      <name val="Arial"/>
      <family val="0"/>
      <charset val="1"/>
    </font>
    <font>
      <b val="true"/>
      <sz val="11"/>
      <color rgb="FF1A1208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8956C"/>
        <bgColor rgb="FFD89090"/>
      </patternFill>
    </fill>
    <fill>
      <patternFill patternType="solid">
        <fgColor rgb="FF9BBF8A"/>
        <bgColor rgb="FF99CCFF"/>
      </patternFill>
    </fill>
    <fill>
      <patternFill patternType="solid">
        <fgColor rgb="FFE8C99B"/>
        <bgColor rgb="FFE5DCD0"/>
      </patternFill>
    </fill>
    <fill>
      <patternFill patternType="solid">
        <fgColor rgb="FFD89090"/>
        <bgColor rgb="FFC8956C"/>
      </patternFill>
    </fill>
    <fill>
      <patternFill patternType="solid">
        <fgColor rgb="FFFAF6F0"/>
        <bgColor rgb="FFFFFFFF"/>
      </patternFill>
    </fill>
    <fill>
      <patternFill patternType="solid">
        <fgColor rgb="FFFFFFFF"/>
        <bgColor rgb="FFFAF6F0"/>
      </patternFill>
    </fill>
    <fill>
      <patternFill patternType="solid">
        <fgColor rgb="FFF5E6D6"/>
        <bgColor rgb="FFE5DCD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DCD0"/>
      </left>
      <right style="thin">
        <color rgb="FFE5DCD0"/>
      </right>
      <top style="thin">
        <color rgb="FFE5DCD0"/>
      </top>
      <bottom style="thin">
        <color rgb="FFE5DC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6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BBF8A"/>
      <rgbColor rgb="FF808080"/>
      <rgbColor rgb="FF9999FF"/>
      <rgbColor rgb="FF993366"/>
      <rgbColor rgb="FFFAF6F0"/>
      <rgbColor rgb="FFCCFFFF"/>
      <rgbColor rgb="FF660066"/>
      <rgbColor rgb="FFD89090"/>
      <rgbColor rgb="FF0066CC"/>
      <rgbColor rgb="FFE5DC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D6"/>
      <rgbColor rgb="FF99CCFF"/>
      <rgbColor rgb="FFFF99CC"/>
      <rgbColor rgb="FFCC99FF"/>
      <rgbColor rgb="FFE8C99B"/>
      <rgbColor rgb="FF3366FF"/>
      <rgbColor rgb="FF33CCCC"/>
      <rgbColor rgb="FF99CC00"/>
      <rgbColor rgb="FFFFCC00"/>
      <rgbColor rgb="FFFF9900"/>
      <rgbColor rgb="FFFF6600"/>
      <rgbColor rgb="FF666699"/>
      <rgbColor rgb="FFC8956C"/>
      <rgbColor rgb="FF003366"/>
      <rgbColor rgb="FF339966"/>
      <rgbColor rgb="FF003300"/>
      <rgbColor rgb="FF1A1208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4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customFormat="false" ht="15" hidden="false" customHeight="false" outlineLevel="0" collapsed="false">
      <c r="A3" s="2" t="n">
        <v>2</v>
      </c>
      <c r="B3" s="2" t="s">
        <v>11</v>
      </c>
      <c r="C3" s="2" t="s">
        <v>7</v>
      </c>
      <c r="D3" s="2" t="s">
        <v>8</v>
      </c>
      <c r="E3" s="2" t="s">
        <v>12</v>
      </c>
      <c r="F3" s="2" t="s">
        <v>13</v>
      </c>
    </row>
    <row r="4" customFormat="false" ht="15" hidden="false" customHeight="false" outlineLevel="0" collapsed="false">
      <c r="A4" s="2" t="n">
        <v>3</v>
      </c>
      <c r="B4" s="2" t="s">
        <v>14</v>
      </c>
      <c r="C4" s="2" t="s">
        <v>7</v>
      </c>
      <c r="D4" s="2" t="s">
        <v>15</v>
      </c>
      <c r="E4" s="2" t="s">
        <v>16</v>
      </c>
      <c r="F4" s="2" t="s">
        <v>17</v>
      </c>
    </row>
    <row r="5" customFormat="false" ht="15" hidden="false" customHeight="false" outlineLevel="0" collapsed="false">
      <c r="A5" s="2" t="n">
        <v>4</v>
      </c>
      <c r="B5" s="2" t="s">
        <v>18</v>
      </c>
      <c r="C5" s="2" t="s">
        <v>7</v>
      </c>
      <c r="D5" s="2" t="s">
        <v>15</v>
      </c>
      <c r="E5" s="2" t="s">
        <v>12</v>
      </c>
      <c r="F5" s="2" t="s">
        <v>19</v>
      </c>
    </row>
    <row r="6" customFormat="false" ht="15" hidden="false" customHeight="false" outlineLevel="0" collapsed="false">
      <c r="A6" s="2" t="n">
        <v>5</v>
      </c>
      <c r="B6" s="2" t="s">
        <v>20</v>
      </c>
      <c r="C6" s="2" t="s">
        <v>7</v>
      </c>
      <c r="D6" s="2" t="s">
        <v>15</v>
      </c>
      <c r="E6" s="2" t="s">
        <v>12</v>
      </c>
      <c r="F6" s="2" t="s">
        <v>21</v>
      </c>
    </row>
    <row r="7" customFormat="false" ht="15" hidden="false" customHeight="false" outlineLevel="0" collapsed="false">
      <c r="A7" s="2" t="n">
        <v>6</v>
      </c>
      <c r="B7" s="2" t="s">
        <v>22</v>
      </c>
      <c r="C7" s="2" t="s">
        <v>7</v>
      </c>
      <c r="D7" s="2" t="s">
        <v>23</v>
      </c>
      <c r="E7" s="2" t="s">
        <v>24</v>
      </c>
      <c r="F7" s="2" t="s">
        <v>25</v>
      </c>
    </row>
    <row r="8" customFormat="false" ht="15" hidden="false" customHeight="false" outlineLevel="0" collapsed="false">
      <c r="A8" s="3" t="n">
        <v>7</v>
      </c>
      <c r="B8" s="3" t="s">
        <v>26</v>
      </c>
      <c r="C8" s="3" t="s">
        <v>27</v>
      </c>
      <c r="D8" s="3" t="s">
        <v>23</v>
      </c>
      <c r="E8" s="3" t="s">
        <v>28</v>
      </c>
      <c r="F8" s="3" t="s">
        <v>29</v>
      </c>
    </row>
    <row r="9" customFormat="false" ht="15" hidden="false" customHeight="false" outlineLevel="0" collapsed="false">
      <c r="A9" s="2" t="n">
        <v>8</v>
      </c>
      <c r="B9" s="2" t="s">
        <v>30</v>
      </c>
      <c r="C9" s="2" t="s">
        <v>7</v>
      </c>
      <c r="D9" s="2" t="s">
        <v>31</v>
      </c>
      <c r="E9" s="2" t="s">
        <v>32</v>
      </c>
      <c r="F9" s="2" t="s">
        <v>33</v>
      </c>
    </row>
    <row r="10" customFormat="false" ht="15" hidden="false" customHeight="false" outlineLevel="0" collapsed="false">
      <c r="A10" s="2" t="n">
        <v>9</v>
      </c>
      <c r="B10" s="2" t="s">
        <v>34</v>
      </c>
      <c r="C10" s="2" t="s">
        <v>7</v>
      </c>
      <c r="D10" s="2" t="s">
        <v>31</v>
      </c>
      <c r="E10" s="2" t="s">
        <v>35</v>
      </c>
      <c r="F10" s="2" t="s">
        <v>36</v>
      </c>
    </row>
    <row r="11" customFormat="false" ht="15" hidden="false" customHeight="false" outlineLevel="0" collapsed="false">
      <c r="A11" s="2" t="n">
        <v>10</v>
      </c>
      <c r="B11" s="2" t="s">
        <v>37</v>
      </c>
      <c r="C11" s="2" t="s">
        <v>38</v>
      </c>
      <c r="D11" s="2" t="s">
        <v>15</v>
      </c>
      <c r="E11" s="2" t="s">
        <v>39</v>
      </c>
      <c r="F11" s="2" t="s">
        <v>40</v>
      </c>
    </row>
    <row r="12" customFormat="false" ht="15" hidden="false" customHeight="false" outlineLevel="0" collapsed="false">
      <c r="A12" s="2" t="n">
        <v>11</v>
      </c>
      <c r="B12" s="2" t="s">
        <v>41</v>
      </c>
      <c r="C12" s="2" t="s">
        <v>42</v>
      </c>
      <c r="D12" s="2" t="s">
        <v>15</v>
      </c>
      <c r="E12" s="2" t="s">
        <v>43</v>
      </c>
      <c r="F12" s="2" t="s">
        <v>44</v>
      </c>
    </row>
    <row r="13" customFormat="false" ht="15" hidden="false" customHeight="false" outlineLevel="0" collapsed="false">
      <c r="A13" s="2" t="n">
        <v>12</v>
      </c>
      <c r="B13" s="2" t="s">
        <v>45</v>
      </c>
      <c r="C13" s="2" t="s">
        <v>7</v>
      </c>
      <c r="D13" s="2" t="s">
        <v>46</v>
      </c>
      <c r="E13" s="2" t="s">
        <v>47</v>
      </c>
      <c r="F13" s="2" t="s">
        <v>48</v>
      </c>
    </row>
    <row r="14" customFormat="false" ht="15" hidden="false" customHeight="false" outlineLevel="0" collapsed="false">
      <c r="A14" s="4" t="n">
        <v>13</v>
      </c>
      <c r="B14" s="4" t="s">
        <v>49</v>
      </c>
      <c r="C14" s="4" t="s">
        <v>50</v>
      </c>
      <c r="D14" s="4" t="s">
        <v>23</v>
      </c>
      <c r="E14" s="4" t="s">
        <v>51</v>
      </c>
      <c r="F14" s="4" t="s">
        <v>52</v>
      </c>
    </row>
    <row r="15" customFormat="false" ht="23.85" hidden="false" customHeight="false" outlineLevel="0" collapsed="false">
      <c r="A15" s="4" t="n">
        <v>14</v>
      </c>
      <c r="B15" s="4" t="s">
        <v>53</v>
      </c>
      <c r="C15" s="4" t="s">
        <v>54</v>
      </c>
      <c r="D15" s="4" t="s">
        <v>55</v>
      </c>
      <c r="E15" s="4" t="s">
        <v>43</v>
      </c>
      <c r="F15" s="4" t="s">
        <v>56</v>
      </c>
    </row>
    <row r="16" customFormat="false" ht="23.85" hidden="false" customHeight="false" outlineLevel="0" collapsed="false">
      <c r="A16" s="3" t="n">
        <v>15</v>
      </c>
      <c r="B16" s="3" t="s">
        <v>57</v>
      </c>
      <c r="C16" s="3" t="s">
        <v>58</v>
      </c>
      <c r="D16" s="3" t="s">
        <v>23</v>
      </c>
      <c r="E16" s="3" t="s">
        <v>59</v>
      </c>
      <c r="F16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3" min="3" style="0" width="60"/>
    <col collapsed="false" customWidth="true" hidden="false" outlineLevel="0" max="4" min="4" style="0" width="14"/>
    <col collapsed="false" customWidth="true" hidden="false" outlineLevel="0" max="5" min="5" style="0" width="55"/>
    <col collapsed="false" customWidth="true" hidden="false" outlineLevel="0" max="6" min="6" style="0" width="10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61</v>
      </c>
      <c r="B1" s="1" t="s">
        <v>62</v>
      </c>
      <c r="C1" s="1" t="s">
        <v>1</v>
      </c>
      <c r="D1" s="1" t="s">
        <v>63</v>
      </c>
      <c r="E1" s="1" t="s">
        <v>64</v>
      </c>
      <c r="F1" s="1" t="s">
        <v>65</v>
      </c>
    </row>
    <row r="2" customFormat="false" ht="15" hidden="false" customHeight="false" outlineLevel="0" collapsed="false">
      <c r="A2" s="5" t="n">
        <v>1</v>
      </c>
      <c r="B2" s="5" t="s">
        <v>66</v>
      </c>
      <c r="C2" s="5" t="s">
        <v>67</v>
      </c>
      <c r="D2" s="5" t="s">
        <v>68</v>
      </c>
      <c r="E2" s="5" t="s">
        <v>69</v>
      </c>
      <c r="F2" s="5"/>
    </row>
    <row r="3" customFormat="false" ht="15" hidden="false" customHeight="false" outlineLevel="0" collapsed="false">
      <c r="A3" s="6" t="n">
        <v>1</v>
      </c>
      <c r="B3" s="6" t="s">
        <v>66</v>
      </c>
      <c r="C3" s="6" t="s">
        <v>70</v>
      </c>
      <c r="D3" s="6" t="s">
        <v>16</v>
      </c>
      <c r="E3" s="6" t="s">
        <v>71</v>
      </c>
      <c r="F3" s="6"/>
    </row>
    <row r="4" customFormat="false" ht="15" hidden="false" customHeight="false" outlineLevel="0" collapsed="false">
      <c r="A4" s="5" t="n">
        <v>1</v>
      </c>
      <c r="B4" s="5" t="s">
        <v>66</v>
      </c>
      <c r="C4" s="5" t="s">
        <v>72</v>
      </c>
      <c r="D4" s="5" t="s">
        <v>73</v>
      </c>
      <c r="E4" s="5" t="s">
        <v>74</v>
      </c>
      <c r="F4" s="5"/>
    </row>
    <row r="5" customFormat="false" ht="15" hidden="false" customHeight="false" outlineLevel="0" collapsed="false">
      <c r="A5" s="6" t="n">
        <v>1</v>
      </c>
      <c r="B5" s="6" t="s">
        <v>66</v>
      </c>
      <c r="C5" s="6" t="s">
        <v>75</v>
      </c>
      <c r="D5" s="6" t="s">
        <v>76</v>
      </c>
      <c r="E5" s="6" t="s">
        <v>77</v>
      </c>
      <c r="F5" s="6"/>
    </row>
    <row r="6" customFormat="false" ht="15" hidden="false" customHeight="false" outlineLevel="0" collapsed="false">
      <c r="A6" s="5" t="n">
        <v>1</v>
      </c>
      <c r="B6" s="5" t="s">
        <v>66</v>
      </c>
      <c r="C6" s="5" t="s">
        <v>78</v>
      </c>
      <c r="D6" s="5" t="s">
        <v>68</v>
      </c>
      <c r="E6" s="5" t="s">
        <v>79</v>
      </c>
      <c r="F6" s="5"/>
    </row>
    <row r="7" customFormat="false" ht="15" hidden="false" customHeight="false" outlineLevel="0" collapsed="false">
      <c r="A7" s="6" t="n">
        <v>1</v>
      </c>
      <c r="B7" s="6" t="s">
        <v>66</v>
      </c>
      <c r="C7" s="6" t="s">
        <v>80</v>
      </c>
      <c r="D7" s="6" t="s">
        <v>81</v>
      </c>
      <c r="E7" s="6" t="s">
        <v>82</v>
      </c>
      <c r="F7" s="6"/>
    </row>
    <row r="8" customFormat="false" ht="15" hidden="false" customHeight="false" outlineLevel="0" collapsed="false">
      <c r="A8" s="5" t="n">
        <v>1</v>
      </c>
      <c r="B8" s="5" t="s">
        <v>83</v>
      </c>
      <c r="C8" s="5" t="s">
        <v>84</v>
      </c>
      <c r="D8" s="5" t="s">
        <v>85</v>
      </c>
      <c r="E8" s="5" t="s">
        <v>86</v>
      </c>
      <c r="F8" s="5"/>
    </row>
    <row r="9" customFormat="false" ht="15" hidden="false" customHeight="false" outlineLevel="0" collapsed="false">
      <c r="A9" s="6" t="n">
        <v>1</v>
      </c>
      <c r="B9" s="6" t="s">
        <v>83</v>
      </c>
      <c r="C9" s="6" t="s">
        <v>87</v>
      </c>
      <c r="D9" s="6" t="s">
        <v>9</v>
      </c>
      <c r="E9" s="6" t="s">
        <v>88</v>
      </c>
      <c r="F9" s="6"/>
    </row>
    <row r="10" customFormat="false" ht="15" hidden="false" customHeight="false" outlineLevel="0" collapsed="false">
      <c r="A10" s="5" t="n">
        <v>1</v>
      </c>
      <c r="B10" s="5" t="s">
        <v>83</v>
      </c>
      <c r="C10" s="5" t="s">
        <v>89</v>
      </c>
      <c r="D10" s="5" t="s">
        <v>85</v>
      </c>
      <c r="E10" s="5" t="s">
        <v>90</v>
      </c>
      <c r="F10" s="5"/>
    </row>
    <row r="11" customFormat="false" ht="15" hidden="false" customHeight="false" outlineLevel="0" collapsed="false">
      <c r="A11" s="6" t="n">
        <v>1</v>
      </c>
      <c r="B11" s="6" t="s">
        <v>83</v>
      </c>
      <c r="C11" s="6" t="s">
        <v>91</v>
      </c>
      <c r="D11" s="6" t="s">
        <v>85</v>
      </c>
      <c r="E11" s="6" t="s">
        <v>92</v>
      </c>
      <c r="F11" s="6"/>
    </row>
    <row r="12" customFormat="false" ht="15" hidden="false" customHeight="false" outlineLevel="0" collapsed="false">
      <c r="A12" s="5" t="n">
        <v>1</v>
      </c>
      <c r="B12" s="5" t="s">
        <v>93</v>
      </c>
      <c r="C12" s="5" t="s">
        <v>94</v>
      </c>
      <c r="D12" s="5" t="s">
        <v>73</v>
      </c>
      <c r="E12" s="5" t="s">
        <v>95</v>
      </c>
      <c r="F12" s="5"/>
    </row>
    <row r="13" customFormat="false" ht="15" hidden="false" customHeight="false" outlineLevel="0" collapsed="false">
      <c r="A13" s="6" t="n">
        <v>1</v>
      </c>
      <c r="B13" s="6" t="s">
        <v>93</v>
      </c>
      <c r="C13" s="6" t="s">
        <v>96</v>
      </c>
      <c r="D13" s="6" t="s">
        <v>97</v>
      </c>
      <c r="E13" s="6" t="s">
        <v>98</v>
      </c>
      <c r="F13" s="6"/>
    </row>
    <row r="14" customFormat="false" ht="15" hidden="false" customHeight="false" outlineLevel="0" collapsed="false">
      <c r="A14" s="5" t="n">
        <v>1</v>
      </c>
      <c r="B14" s="5" t="s">
        <v>93</v>
      </c>
      <c r="C14" s="5" t="s">
        <v>99</v>
      </c>
      <c r="D14" s="5" t="s">
        <v>76</v>
      </c>
      <c r="E14" s="5" t="s">
        <v>100</v>
      </c>
      <c r="F14" s="5"/>
    </row>
    <row r="15" customFormat="false" ht="15" hidden="false" customHeight="false" outlineLevel="0" collapsed="false">
      <c r="A15" s="6" t="n">
        <v>1</v>
      </c>
      <c r="B15" s="6" t="s">
        <v>93</v>
      </c>
      <c r="C15" s="6" t="s">
        <v>101</v>
      </c>
      <c r="D15" s="6" t="s">
        <v>97</v>
      </c>
      <c r="E15" s="6" t="s">
        <v>102</v>
      </c>
      <c r="F15" s="6"/>
    </row>
    <row r="16" customFormat="false" ht="15" hidden="false" customHeight="false" outlineLevel="0" collapsed="false">
      <c r="A16" s="5" t="n">
        <v>1</v>
      </c>
      <c r="B16" s="5" t="s">
        <v>93</v>
      </c>
      <c r="C16" s="5" t="s">
        <v>103</v>
      </c>
      <c r="D16" s="5" t="s">
        <v>68</v>
      </c>
      <c r="E16" s="5" t="s">
        <v>104</v>
      </c>
      <c r="F16" s="5"/>
    </row>
    <row r="17" customFormat="false" ht="15" hidden="false" customHeight="false" outlineLevel="0" collapsed="false">
      <c r="A17" s="6" t="n">
        <v>1</v>
      </c>
      <c r="B17" s="6" t="s">
        <v>105</v>
      </c>
      <c r="C17" s="6" t="s">
        <v>106</v>
      </c>
      <c r="D17" s="6" t="s">
        <v>68</v>
      </c>
      <c r="E17" s="6" t="s">
        <v>107</v>
      </c>
      <c r="F17" s="6"/>
    </row>
    <row r="18" customFormat="false" ht="15" hidden="false" customHeight="false" outlineLevel="0" collapsed="false">
      <c r="A18" s="5" t="n">
        <v>1</v>
      </c>
      <c r="B18" s="5" t="s">
        <v>108</v>
      </c>
      <c r="C18" s="5" t="s">
        <v>109</v>
      </c>
      <c r="D18" s="5" t="s">
        <v>16</v>
      </c>
      <c r="E18" s="5" t="s">
        <v>110</v>
      </c>
      <c r="F18" s="5"/>
    </row>
    <row r="19" customFormat="false" ht="15" hidden="false" customHeight="false" outlineLevel="0" collapsed="false">
      <c r="A19" s="6" t="n">
        <v>1</v>
      </c>
      <c r="B19" s="6" t="s">
        <v>108</v>
      </c>
      <c r="C19" s="6" t="s">
        <v>111</v>
      </c>
      <c r="D19" s="6" t="s">
        <v>73</v>
      </c>
      <c r="E19" s="6" t="s">
        <v>112</v>
      </c>
      <c r="F19" s="6"/>
    </row>
    <row r="20" customFormat="false" ht="15" hidden="false" customHeight="false" outlineLevel="0" collapsed="false">
      <c r="A20" s="5" t="n">
        <v>1</v>
      </c>
      <c r="B20" s="5" t="s">
        <v>108</v>
      </c>
      <c r="C20" s="5" t="s">
        <v>113</v>
      </c>
      <c r="D20" s="5" t="s">
        <v>73</v>
      </c>
      <c r="E20" s="5" t="s">
        <v>114</v>
      </c>
      <c r="F20" s="5"/>
    </row>
    <row r="21" customFormat="false" ht="15" hidden="false" customHeight="false" outlineLevel="0" collapsed="false">
      <c r="A21" s="6" t="n">
        <v>1</v>
      </c>
      <c r="B21" s="6" t="s">
        <v>108</v>
      </c>
      <c r="C21" s="6" t="s">
        <v>115</v>
      </c>
      <c r="D21" s="6" t="s">
        <v>12</v>
      </c>
      <c r="E21" s="6" t="s">
        <v>116</v>
      </c>
      <c r="F21" s="6"/>
    </row>
    <row r="22" customFormat="false" ht="15" hidden="false" customHeight="false" outlineLevel="0" collapsed="false">
      <c r="A22" s="5" t="n">
        <v>1</v>
      </c>
      <c r="B22" s="5" t="s">
        <v>117</v>
      </c>
      <c r="C22" s="5" t="s">
        <v>118</v>
      </c>
      <c r="D22" s="5" t="s">
        <v>16</v>
      </c>
      <c r="E22" s="5" t="s">
        <v>119</v>
      </c>
      <c r="F22" s="5"/>
    </row>
    <row r="23" customFormat="false" ht="15" hidden="false" customHeight="false" outlineLevel="0" collapsed="false">
      <c r="A23" s="6" t="n">
        <v>1</v>
      </c>
      <c r="B23" s="6" t="s">
        <v>117</v>
      </c>
      <c r="C23" s="6" t="s">
        <v>120</v>
      </c>
      <c r="D23" s="6" t="s">
        <v>73</v>
      </c>
      <c r="E23" s="6" t="s">
        <v>121</v>
      </c>
      <c r="F23" s="6"/>
    </row>
    <row r="24" customFormat="false" ht="15" hidden="false" customHeight="false" outlineLevel="0" collapsed="false">
      <c r="A24" s="5" t="n">
        <v>1</v>
      </c>
      <c r="B24" s="5" t="s">
        <v>117</v>
      </c>
      <c r="C24" s="5" t="s">
        <v>122</v>
      </c>
      <c r="D24" s="5" t="s">
        <v>76</v>
      </c>
      <c r="E24" s="5" t="s">
        <v>123</v>
      </c>
      <c r="F24" s="5"/>
    </row>
    <row r="25" customFormat="false" ht="15" hidden="false" customHeight="false" outlineLevel="0" collapsed="false">
      <c r="A25" s="6" t="n">
        <v>1</v>
      </c>
      <c r="B25" s="6" t="s">
        <v>117</v>
      </c>
      <c r="C25" s="6" t="s">
        <v>124</v>
      </c>
      <c r="D25" s="6" t="s">
        <v>12</v>
      </c>
      <c r="E25" s="6" t="s">
        <v>125</v>
      </c>
      <c r="F25" s="6"/>
    </row>
    <row r="26" customFormat="false" ht="15" hidden="false" customHeight="false" outlineLevel="0" collapsed="false">
      <c r="A26" s="5" t="n">
        <v>1</v>
      </c>
      <c r="B26" s="5" t="s">
        <v>117</v>
      </c>
      <c r="C26" s="5" t="s">
        <v>126</v>
      </c>
      <c r="D26" s="5" t="s">
        <v>16</v>
      </c>
      <c r="E26" s="5" t="s">
        <v>127</v>
      </c>
      <c r="F26" s="5"/>
    </row>
    <row r="27" customFormat="false" ht="23.85" hidden="false" customHeight="false" outlineLevel="0" collapsed="false">
      <c r="A27" s="6" t="n">
        <v>2</v>
      </c>
      <c r="B27" s="6" t="s">
        <v>128</v>
      </c>
      <c r="C27" s="6" t="s">
        <v>129</v>
      </c>
      <c r="D27" s="6" t="s">
        <v>24</v>
      </c>
      <c r="E27" s="6" t="s">
        <v>130</v>
      </c>
      <c r="F27" s="6"/>
    </row>
    <row r="28" customFormat="false" ht="15" hidden="false" customHeight="false" outlineLevel="0" collapsed="false">
      <c r="A28" s="5" t="n">
        <v>2</v>
      </c>
      <c r="B28" s="5" t="s">
        <v>128</v>
      </c>
      <c r="C28" s="5" t="s">
        <v>131</v>
      </c>
      <c r="D28" s="5" t="s">
        <v>16</v>
      </c>
      <c r="E28" s="5" t="s">
        <v>132</v>
      </c>
      <c r="F28" s="5"/>
    </row>
    <row r="29" customFormat="false" ht="15" hidden="false" customHeight="false" outlineLevel="0" collapsed="false">
      <c r="A29" s="6" t="n">
        <v>2</v>
      </c>
      <c r="B29" s="6" t="s">
        <v>133</v>
      </c>
      <c r="C29" s="6" t="s">
        <v>134</v>
      </c>
      <c r="D29" s="6" t="s">
        <v>12</v>
      </c>
      <c r="E29" s="6" t="s">
        <v>135</v>
      </c>
      <c r="F29" s="6"/>
    </row>
    <row r="30" customFormat="false" ht="15" hidden="false" customHeight="false" outlineLevel="0" collapsed="false">
      <c r="A30" s="5" t="n">
        <v>2</v>
      </c>
      <c r="B30" s="5" t="s">
        <v>136</v>
      </c>
      <c r="C30" s="5" t="s">
        <v>137</v>
      </c>
      <c r="D30" s="5" t="s">
        <v>138</v>
      </c>
      <c r="E30" s="5" t="s">
        <v>139</v>
      </c>
      <c r="F30" s="5"/>
    </row>
    <row r="31" customFormat="false" ht="15" hidden="false" customHeight="false" outlineLevel="0" collapsed="false">
      <c r="A31" s="6" t="n">
        <v>2</v>
      </c>
      <c r="B31" s="6" t="s">
        <v>136</v>
      </c>
      <c r="C31" s="6" t="s">
        <v>140</v>
      </c>
      <c r="D31" s="6" t="s">
        <v>141</v>
      </c>
      <c r="E31" s="6" t="s">
        <v>142</v>
      </c>
      <c r="F31" s="6"/>
    </row>
    <row r="32" customFormat="false" ht="15" hidden="false" customHeight="false" outlineLevel="0" collapsed="false">
      <c r="A32" s="5" t="n">
        <v>2</v>
      </c>
      <c r="B32" s="5" t="s">
        <v>136</v>
      </c>
      <c r="C32" s="5" t="s">
        <v>143</v>
      </c>
      <c r="D32" s="5" t="s">
        <v>144</v>
      </c>
      <c r="E32" s="5" t="s">
        <v>145</v>
      </c>
      <c r="F32" s="5"/>
    </row>
    <row r="33" customFormat="false" ht="15" hidden="false" customHeight="false" outlineLevel="0" collapsed="false">
      <c r="A33" s="6" t="n">
        <v>2</v>
      </c>
      <c r="B33" s="6" t="s">
        <v>136</v>
      </c>
      <c r="C33" s="6" t="s">
        <v>146</v>
      </c>
      <c r="D33" s="6" t="s">
        <v>147</v>
      </c>
      <c r="E33" s="6" t="s">
        <v>148</v>
      </c>
      <c r="F33" s="6"/>
    </row>
    <row r="34" customFormat="false" ht="15" hidden="false" customHeight="false" outlineLevel="0" collapsed="false">
      <c r="A34" s="5" t="n">
        <v>2</v>
      </c>
      <c r="B34" s="5" t="s">
        <v>149</v>
      </c>
      <c r="C34" s="5" t="s">
        <v>150</v>
      </c>
      <c r="D34" s="5" t="s">
        <v>144</v>
      </c>
      <c r="E34" s="5" t="s">
        <v>151</v>
      </c>
      <c r="F34" s="5"/>
    </row>
    <row r="35" customFormat="false" ht="15" hidden="false" customHeight="false" outlineLevel="0" collapsed="false">
      <c r="A35" s="6" t="n">
        <v>2</v>
      </c>
      <c r="B35" s="6" t="s">
        <v>149</v>
      </c>
      <c r="C35" s="6" t="s">
        <v>152</v>
      </c>
      <c r="D35" s="6" t="s">
        <v>147</v>
      </c>
      <c r="E35" s="6" t="s">
        <v>153</v>
      </c>
      <c r="F35" s="6"/>
    </row>
    <row r="36" customFormat="false" ht="15" hidden="false" customHeight="false" outlineLevel="0" collapsed="false">
      <c r="A36" s="5" t="n">
        <v>2</v>
      </c>
      <c r="B36" s="5" t="s">
        <v>154</v>
      </c>
      <c r="C36" s="5" t="s">
        <v>155</v>
      </c>
      <c r="D36" s="5" t="s">
        <v>156</v>
      </c>
      <c r="E36" s="5" t="s">
        <v>157</v>
      </c>
      <c r="F36" s="5"/>
    </row>
    <row r="37" customFormat="false" ht="15" hidden="false" customHeight="false" outlineLevel="0" collapsed="false">
      <c r="A37" s="6" t="n">
        <v>2</v>
      </c>
      <c r="B37" s="6" t="s">
        <v>158</v>
      </c>
      <c r="C37" s="6" t="s">
        <v>159</v>
      </c>
      <c r="D37" s="6" t="s">
        <v>35</v>
      </c>
      <c r="E37" s="6" t="s">
        <v>160</v>
      </c>
      <c r="F37" s="6"/>
    </row>
    <row r="38" customFormat="false" ht="15" hidden="false" customHeight="false" outlineLevel="0" collapsed="false">
      <c r="A38" s="5" t="n">
        <v>2</v>
      </c>
      <c r="B38" s="5" t="s">
        <v>158</v>
      </c>
      <c r="C38" s="5" t="s">
        <v>161</v>
      </c>
      <c r="D38" s="5" t="s">
        <v>162</v>
      </c>
      <c r="E38" s="5" t="s">
        <v>163</v>
      </c>
      <c r="F38" s="5"/>
    </row>
    <row r="39" customFormat="false" ht="15" hidden="false" customHeight="false" outlineLevel="0" collapsed="false">
      <c r="A39" s="6" t="n">
        <v>2</v>
      </c>
      <c r="B39" s="6" t="s">
        <v>158</v>
      </c>
      <c r="C39" s="6" t="s">
        <v>164</v>
      </c>
      <c r="D39" s="6" t="s">
        <v>165</v>
      </c>
      <c r="E39" s="6" t="s">
        <v>166</v>
      </c>
      <c r="F39" s="6"/>
    </row>
    <row r="40" customFormat="false" ht="15" hidden="false" customHeight="false" outlineLevel="0" collapsed="false">
      <c r="A40" s="5" t="n">
        <v>3</v>
      </c>
      <c r="B40" s="5" t="s">
        <v>167</v>
      </c>
      <c r="C40" s="5" t="s">
        <v>168</v>
      </c>
      <c r="D40" s="5" t="s">
        <v>9</v>
      </c>
      <c r="E40" s="5" t="s">
        <v>169</v>
      </c>
      <c r="F40" s="5"/>
    </row>
    <row r="41" customFormat="false" ht="15" hidden="false" customHeight="false" outlineLevel="0" collapsed="false">
      <c r="A41" s="6" t="n">
        <v>3</v>
      </c>
      <c r="B41" s="6" t="s">
        <v>167</v>
      </c>
      <c r="C41" s="6" t="s">
        <v>170</v>
      </c>
      <c r="D41" s="6" t="s">
        <v>171</v>
      </c>
      <c r="E41" s="6" t="s">
        <v>172</v>
      </c>
      <c r="F41" s="6"/>
    </row>
    <row r="42" customFormat="false" ht="15" hidden="false" customHeight="false" outlineLevel="0" collapsed="false">
      <c r="A42" s="5" t="n">
        <v>3</v>
      </c>
      <c r="B42" s="5" t="s">
        <v>167</v>
      </c>
      <c r="C42" s="5" t="s">
        <v>173</v>
      </c>
      <c r="D42" s="5" t="s">
        <v>174</v>
      </c>
      <c r="E42" s="5" t="s">
        <v>175</v>
      </c>
      <c r="F42" s="5"/>
    </row>
    <row r="43" customFormat="false" ht="15" hidden="false" customHeight="false" outlineLevel="0" collapsed="false">
      <c r="A43" s="6" t="n">
        <v>3</v>
      </c>
      <c r="B43" s="6" t="s">
        <v>176</v>
      </c>
      <c r="C43" s="6" t="s">
        <v>177</v>
      </c>
      <c r="D43" s="6" t="s">
        <v>24</v>
      </c>
      <c r="E43" s="6" t="s">
        <v>178</v>
      </c>
      <c r="F43" s="6"/>
    </row>
    <row r="44" customFormat="false" ht="15" hidden="false" customHeight="false" outlineLevel="0" collapsed="false">
      <c r="A44" s="5" t="n">
        <v>3</v>
      </c>
      <c r="B44" s="5" t="s">
        <v>176</v>
      </c>
      <c r="C44" s="5" t="s">
        <v>179</v>
      </c>
      <c r="D44" s="5" t="s">
        <v>180</v>
      </c>
      <c r="E44" s="5" t="s">
        <v>181</v>
      </c>
      <c r="F44" s="5"/>
    </row>
    <row r="45" customFormat="false" ht="15" hidden="false" customHeight="false" outlineLevel="0" collapsed="false">
      <c r="A45" s="6" t="n">
        <v>3</v>
      </c>
      <c r="B45" s="6" t="s">
        <v>176</v>
      </c>
      <c r="C45" s="6" t="s">
        <v>182</v>
      </c>
      <c r="D45" s="6" t="s">
        <v>32</v>
      </c>
      <c r="E45" s="6" t="s">
        <v>183</v>
      </c>
      <c r="F45" s="6"/>
    </row>
    <row r="46" customFormat="false" ht="15" hidden="false" customHeight="false" outlineLevel="0" collapsed="false">
      <c r="A46" s="5" t="n">
        <v>3</v>
      </c>
      <c r="B46" s="5" t="s">
        <v>176</v>
      </c>
      <c r="C46" s="5" t="s">
        <v>184</v>
      </c>
      <c r="D46" s="5" t="s">
        <v>24</v>
      </c>
      <c r="E46" s="5" t="s">
        <v>185</v>
      </c>
      <c r="F46" s="5"/>
    </row>
    <row r="47" customFormat="false" ht="15" hidden="false" customHeight="false" outlineLevel="0" collapsed="false">
      <c r="A47" s="6" t="n">
        <v>3</v>
      </c>
      <c r="B47" s="6" t="s">
        <v>186</v>
      </c>
      <c r="C47" s="6" t="s">
        <v>187</v>
      </c>
      <c r="D47" s="6" t="s">
        <v>43</v>
      </c>
      <c r="E47" s="6" t="s">
        <v>188</v>
      </c>
      <c r="F47" s="6"/>
    </row>
    <row r="48" customFormat="false" ht="15" hidden="false" customHeight="false" outlineLevel="0" collapsed="false">
      <c r="A48" s="5" t="n">
        <v>3</v>
      </c>
      <c r="B48" s="5" t="s">
        <v>186</v>
      </c>
      <c r="C48" s="5" t="s">
        <v>189</v>
      </c>
      <c r="D48" s="5" t="s">
        <v>190</v>
      </c>
      <c r="E48" s="5" t="s">
        <v>191</v>
      </c>
      <c r="F48" s="5"/>
    </row>
    <row r="49" customFormat="false" ht="15" hidden="false" customHeight="false" outlineLevel="0" collapsed="false">
      <c r="A49" s="6" t="n">
        <v>3</v>
      </c>
      <c r="B49" s="6" t="s">
        <v>186</v>
      </c>
      <c r="C49" s="6" t="s">
        <v>192</v>
      </c>
      <c r="D49" s="6" t="s">
        <v>193</v>
      </c>
      <c r="E49" s="6" t="s">
        <v>194</v>
      </c>
      <c r="F49" s="6"/>
    </row>
    <row r="50" customFormat="false" ht="15" hidden="false" customHeight="false" outlineLevel="0" collapsed="false">
      <c r="A50" s="5" t="n">
        <v>3</v>
      </c>
      <c r="B50" s="5" t="s">
        <v>195</v>
      </c>
      <c r="C50" s="5" t="s">
        <v>196</v>
      </c>
      <c r="D50" s="5" t="s">
        <v>32</v>
      </c>
      <c r="E50" s="5" t="s">
        <v>197</v>
      </c>
      <c r="F50" s="5"/>
    </row>
    <row r="51" customFormat="false" ht="15" hidden="false" customHeight="false" outlineLevel="0" collapsed="false">
      <c r="A51" s="6" t="n">
        <v>3</v>
      </c>
      <c r="B51" s="6" t="s">
        <v>195</v>
      </c>
      <c r="C51" s="6" t="s">
        <v>198</v>
      </c>
      <c r="D51" s="6" t="s">
        <v>199</v>
      </c>
      <c r="E51" s="6" t="s">
        <v>200</v>
      </c>
      <c r="F51" s="6"/>
    </row>
    <row r="52" customFormat="false" ht="15" hidden="false" customHeight="false" outlineLevel="0" collapsed="false">
      <c r="A52" s="5" t="n">
        <v>3</v>
      </c>
      <c r="B52" s="5" t="s">
        <v>195</v>
      </c>
      <c r="C52" s="5" t="s">
        <v>201</v>
      </c>
      <c r="D52" s="5" t="s">
        <v>199</v>
      </c>
      <c r="E52" s="5" t="s">
        <v>202</v>
      </c>
      <c r="F52" s="5"/>
    </row>
    <row r="53" customFormat="false" ht="15" hidden="false" customHeight="false" outlineLevel="0" collapsed="false">
      <c r="A53" s="6" t="n">
        <v>3</v>
      </c>
      <c r="B53" s="6" t="s">
        <v>195</v>
      </c>
      <c r="C53" s="6" t="s">
        <v>203</v>
      </c>
      <c r="D53" s="6" t="s">
        <v>39</v>
      </c>
      <c r="E53" s="6" t="s">
        <v>204</v>
      </c>
      <c r="F53" s="6"/>
    </row>
    <row r="54" customFormat="false" ht="15" hidden="false" customHeight="false" outlineLevel="0" collapsed="false">
      <c r="A54" s="5" t="n">
        <v>3</v>
      </c>
      <c r="B54" s="5" t="s">
        <v>205</v>
      </c>
      <c r="C54" s="5" t="s">
        <v>206</v>
      </c>
      <c r="D54" s="5" t="s">
        <v>24</v>
      </c>
      <c r="E54" s="5" t="s">
        <v>207</v>
      </c>
      <c r="F54" s="5"/>
    </row>
    <row r="55" customFormat="false" ht="15" hidden="false" customHeight="false" outlineLevel="0" collapsed="false">
      <c r="A55" s="6" t="n">
        <v>3</v>
      </c>
      <c r="B55" s="6" t="s">
        <v>205</v>
      </c>
      <c r="C55" s="6" t="s">
        <v>208</v>
      </c>
      <c r="D55" s="6" t="s">
        <v>156</v>
      </c>
      <c r="E55" s="6" t="s">
        <v>209</v>
      </c>
      <c r="F55" s="6"/>
    </row>
    <row r="56" customFormat="false" ht="15" hidden="false" customHeight="false" outlineLevel="0" collapsed="false">
      <c r="A56" s="5" t="n">
        <v>3</v>
      </c>
      <c r="B56" s="5" t="s">
        <v>205</v>
      </c>
      <c r="C56" s="5" t="s">
        <v>210</v>
      </c>
      <c r="D56" s="5" t="s">
        <v>43</v>
      </c>
      <c r="E56" s="5" t="s">
        <v>211</v>
      </c>
      <c r="F56" s="5"/>
    </row>
    <row r="57" customFormat="false" ht="15" hidden="false" customHeight="false" outlineLevel="0" collapsed="false">
      <c r="A57" s="6" t="n">
        <v>4</v>
      </c>
      <c r="B57" s="6" t="s">
        <v>212</v>
      </c>
      <c r="C57" s="6" t="s">
        <v>213</v>
      </c>
      <c r="D57" s="6" t="s">
        <v>180</v>
      </c>
      <c r="E57" s="6" t="s">
        <v>214</v>
      </c>
      <c r="F57" s="6"/>
    </row>
    <row r="58" customFormat="false" ht="15" hidden="false" customHeight="false" outlineLevel="0" collapsed="false">
      <c r="A58" s="5" t="n">
        <v>4</v>
      </c>
      <c r="B58" s="5" t="s">
        <v>212</v>
      </c>
      <c r="C58" s="5" t="s">
        <v>215</v>
      </c>
      <c r="D58" s="5" t="s">
        <v>24</v>
      </c>
      <c r="E58" s="5" t="s">
        <v>216</v>
      </c>
      <c r="F58" s="5"/>
    </row>
    <row r="59" customFormat="false" ht="15" hidden="false" customHeight="false" outlineLevel="0" collapsed="false">
      <c r="A59" s="6" t="n">
        <v>4</v>
      </c>
      <c r="B59" s="6" t="s">
        <v>212</v>
      </c>
      <c r="C59" s="6" t="s">
        <v>217</v>
      </c>
      <c r="D59" s="6" t="s">
        <v>16</v>
      </c>
      <c r="E59" s="6" t="s">
        <v>218</v>
      </c>
      <c r="F59" s="6"/>
    </row>
    <row r="60" customFormat="false" ht="15" hidden="false" customHeight="false" outlineLevel="0" collapsed="false">
      <c r="A60" s="5" t="n">
        <v>4</v>
      </c>
      <c r="B60" s="5" t="s">
        <v>212</v>
      </c>
      <c r="C60" s="5" t="s">
        <v>219</v>
      </c>
      <c r="D60" s="5" t="s">
        <v>24</v>
      </c>
      <c r="E60" s="5" t="s">
        <v>220</v>
      </c>
      <c r="F60" s="5"/>
    </row>
    <row r="61" customFormat="false" ht="15" hidden="false" customHeight="false" outlineLevel="0" collapsed="false">
      <c r="A61" s="6" t="n">
        <v>4</v>
      </c>
      <c r="B61" s="6" t="s">
        <v>212</v>
      </c>
      <c r="C61" s="6" t="s">
        <v>221</v>
      </c>
      <c r="D61" s="6" t="s">
        <v>12</v>
      </c>
      <c r="E61" s="6" t="s">
        <v>222</v>
      </c>
      <c r="F61" s="6"/>
    </row>
    <row r="62" customFormat="false" ht="15" hidden="false" customHeight="false" outlineLevel="0" collapsed="false">
      <c r="A62" s="5" t="n">
        <v>4</v>
      </c>
      <c r="B62" s="5" t="s">
        <v>223</v>
      </c>
      <c r="C62" s="5" t="s">
        <v>224</v>
      </c>
      <c r="D62" s="5" t="s">
        <v>225</v>
      </c>
      <c r="E62" s="5" t="s">
        <v>226</v>
      </c>
      <c r="F62" s="5"/>
    </row>
    <row r="63" customFormat="false" ht="15" hidden="false" customHeight="false" outlineLevel="0" collapsed="false">
      <c r="A63" s="6" t="n">
        <v>4</v>
      </c>
      <c r="B63" s="6" t="s">
        <v>223</v>
      </c>
      <c r="C63" s="6" t="s">
        <v>227</v>
      </c>
      <c r="D63" s="6" t="s">
        <v>24</v>
      </c>
      <c r="E63" s="6" t="s">
        <v>228</v>
      </c>
      <c r="F63" s="6"/>
    </row>
    <row r="64" customFormat="false" ht="15" hidden="false" customHeight="false" outlineLevel="0" collapsed="false">
      <c r="A64" s="5" t="n">
        <v>4</v>
      </c>
      <c r="B64" s="5" t="s">
        <v>223</v>
      </c>
      <c r="C64" s="5" t="s">
        <v>229</v>
      </c>
      <c r="D64" s="5" t="s">
        <v>16</v>
      </c>
      <c r="E64" s="5" t="s">
        <v>230</v>
      </c>
      <c r="F64" s="5"/>
    </row>
    <row r="65" customFormat="false" ht="15" hidden="false" customHeight="false" outlineLevel="0" collapsed="false">
      <c r="A65" s="6" t="n">
        <v>4</v>
      </c>
      <c r="B65" s="6" t="s">
        <v>223</v>
      </c>
      <c r="C65" s="6" t="s">
        <v>231</v>
      </c>
      <c r="D65" s="6" t="s">
        <v>12</v>
      </c>
      <c r="E65" s="6" t="s">
        <v>232</v>
      </c>
      <c r="F65" s="6"/>
    </row>
    <row r="66" customFormat="false" ht="15" hidden="false" customHeight="false" outlineLevel="0" collapsed="false">
      <c r="A66" s="5" t="n">
        <v>4</v>
      </c>
      <c r="B66" s="5" t="s">
        <v>223</v>
      </c>
      <c r="C66" s="5" t="s">
        <v>233</v>
      </c>
      <c r="D66" s="5" t="s">
        <v>43</v>
      </c>
      <c r="E66" s="5" t="s">
        <v>234</v>
      </c>
      <c r="F66" s="5"/>
    </row>
    <row r="67" customFormat="false" ht="15" hidden="false" customHeight="false" outlineLevel="0" collapsed="false">
      <c r="A67" s="6" t="n">
        <v>4</v>
      </c>
      <c r="B67" s="6" t="s">
        <v>235</v>
      </c>
      <c r="C67" s="6" t="s">
        <v>236</v>
      </c>
      <c r="D67" s="6" t="s">
        <v>237</v>
      </c>
      <c r="E67" s="6" t="s">
        <v>238</v>
      </c>
      <c r="F67" s="6"/>
    </row>
    <row r="68" customFormat="false" ht="15" hidden="false" customHeight="false" outlineLevel="0" collapsed="false">
      <c r="A68" s="5" t="n">
        <v>4</v>
      </c>
      <c r="B68" s="5" t="s">
        <v>239</v>
      </c>
      <c r="C68" s="5" t="s">
        <v>240</v>
      </c>
      <c r="D68" s="5" t="s">
        <v>241</v>
      </c>
      <c r="E68" s="5" t="s">
        <v>242</v>
      </c>
      <c r="F68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24"/>
    <col collapsed="false" customWidth="true" hidden="false" outlineLevel="0" max="8" min="8" style="0" width="42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61</v>
      </c>
      <c r="B1" s="1" t="s">
        <v>62</v>
      </c>
      <c r="C1" s="1" t="s">
        <v>1</v>
      </c>
      <c r="D1" s="1" t="s">
        <v>243</v>
      </c>
      <c r="E1" s="1" t="s">
        <v>244</v>
      </c>
      <c r="F1" s="1" t="s">
        <v>245</v>
      </c>
      <c r="G1" s="1" t="s">
        <v>246</v>
      </c>
      <c r="H1" s="1" t="s">
        <v>247</v>
      </c>
      <c r="I1" s="1" t="s">
        <v>65</v>
      </c>
    </row>
    <row r="2" customFormat="false" ht="15" hidden="false" customHeight="false" outlineLevel="0" collapsed="false">
      <c r="A2" s="5" t="n">
        <v>2</v>
      </c>
      <c r="B2" s="5" t="s">
        <v>133</v>
      </c>
      <c r="C2" s="5" t="s">
        <v>248</v>
      </c>
      <c r="D2" s="5" t="s">
        <v>249</v>
      </c>
      <c r="E2" s="7" t="n">
        <v>25</v>
      </c>
      <c r="F2" s="7" t="n">
        <v>0</v>
      </c>
      <c r="G2" s="5" t="s">
        <v>250</v>
      </c>
      <c r="H2" s="5" t="s">
        <v>251</v>
      </c>
      <c r="I2" s="5"/>
    </row>
    <row r="3" customFormat="false" ht="15" hidden="false" customHeight="false" outlineLevel="0" collapsed="false">
      <c r="A3" s="6" t="n">
        <v>2</v>
      </c>
      <c r="B3" s="6" t="s">
        <v>133</v>
      </c>
      <c r="C3" s="6" t="s">
        <v>252</v>
      </c>
      <c r="D3" s="6" t="s">
        <v>253</v>
      </c>
      <c r="E3" s="8" t="n">
        <v>0</v>
      </c>
      <c r="F3" s="8" t="n">
        <v>0</v>
      </c>
      <c r="G3" s="6" t="s">
        <v>254</v>
      </c>
      <c r="H3" s="6" t="s">
        <v>255</v>
      </c>
      <c r="I3" s="6"/>
    </row>
    <row r="4" customFormat="false" ht="15" hidden="false" customHeight="false" outlineLevel="0" collapsed="false">
      <c r="A4" s="5" t="n">
        <v>3</v>
      </c>
      <c r="B4" s="5" t="s">
        <v>133</v>
      </c>
      <c r="C4" s="5" t="s">
        <v>256</v>
      </c>
      <c r="D4" s="5" t="s">
        <v>249</v>
      </c>
      <c r="E4" s="7" t="n">
        <v>0</v>
      </c>
      <c r="F4" s="7" t="n">
        <v>0</v>
      </c>
      <c r="G4" s="5" t="s">
        <v>257</v>
      </c>
      <c r="H4" s="5" t="s">
        <v>258</v>
      </c>
      <c r="I4" s="5"/>
    </row>
    <row r="5" customFormat="false" ht="23.85" hidden="false" customHeight="false" outlineLevel="0" collapsed="false">
      <c r="A5" s="6" t="n">
        <v>3</v>
      </c>
      <c r="B5" s="6" t="s">
        <v>259</v>
      </c>
      <c r="C5" s="6" t="s">
        <v>260</v>
      </c>
      <c r="D5" s="6" t="s">
        <v>261</v>
      </c>
      <c r="E5" s="8" t="n">
        <v>0</v>
      </c>
      <c r="F5" s="8" t="n">
        <v>0</v>
      </c>
      <c r="G5" s="6" t="s">
        <v>262</v>
      </c>
      <c r="H5" s="6" t="s">
        <v>263</v>
      </c>
      <c r="I5" s="6"/>
    </row>
    <row r="6" customFormat="false" ht="15" hidden="false" customHeight="false" outlineLevel="0" collapsed="false">
      <c r="A6" s="5" t="n">
        <v>3</v>
      </c>
      <c r="B6" s="5" t="s">
        <v>259</v>
      </c>
      <c r="C6" s="5" t="s">
        <v>264</v>
      </c>
      <c r="D6" s="5" t="s">
        <v>265</v>
      </c>
      <c r="E6" s="7" t="n">
        <v>0</v>
      </c>
      <c r="F6" s="7" t="n">
        <v>20</v>
      </c>
      <c r="G6" s="5" t="s">
        <v>266</v>
      </c>
      <c r="H6" s="5" t="s">
        <v>267</v>
      </c>
      <c r="I6" s="5"/>
    </row>
    <row r="7" customFormat="false" ht="15" hidden="false" customHeight="false" outlineLevel="0" collapsed="false">
      <c r="A7" s="6" t="n">
        <v>3</v>
      </c>
      <c r="B7" s="6" t="s">
        <v>268</v>
      </c>
      <c r="C7" s="6" t="s">
        <v>269</v>
      </c>
      <c r="D7" s="6" t="s">
        <v>270</v>
      </c>
      <c r="E7" s="8" t="n">
        <v>350</v>
      </c>
      <c r="F7" s="8" t="n">
        <v>0</v>
      </c>
      <c r="G7" s="6" t="s">
        <v>271</v>
      </c>
      <c r="H7" s="6" t="s">
        <v>272</v>
      </c>
      <c r="I7" s="6"/>
    </row>
    <row r="8" customFormat="false" ht="23.85" hidden="false" customHeight="false" outlineLevel="0" collapsed="false">
      <c r="A8" s="5" t="n">
        <v>3</v>
      </c>
      <c r="B8" s="5" t="s">
        <v>205</v>
      </c>
      <c r="C8" s="5" t="s">
        <v>273</v>
      </c>
      <c r="D8" s="5" t="s">
        <v>265</v>
      </c>
      <c r="E8" s="7" t="n">
        <v>0</v>
      </c>
      <c r="F8" s="7" t="n">
        <v>200</v>
      </c>
      <c r="G8" s="5" t="s">
        <v>274</v>
      </c>
      <c r="H8" s="5" t="s">
        <v>275</v>
      </c>
      <c r="I8" s="5"/>
    </row>
    <row r="9" customFormat="false" ht="15" hidden="false" customHeight="false" outlineLevel="0" collapsed="false">
      <c r="A9" s="6" t="n">
        <v>3</v>
      </c>
      <c r="B9" s="6" t="s">
        <v>276</v>
      </c>
      <c r="C9" s="6" t="s">
        <v>277</v>
      </c>
      <c r="D9" s="6" t="s">
        <v>265</v>
      </c>
      <c r="E9" s="8" t="n">
        <v>0</v>
      </c>
      <c r="F9" s="8" t="n">
        <v>600</v>
      </c>
      <c r="G9" s="6" t="s">
        <v>278</v>
      </c>
      <c r="H9" s="6" t="s">
        <v>279</v>
      </c>
      <c r="I9" s="6"/>
    </row>
    <row r="10" customFormat="false" ht="15" hidden="false" customHeight="false" outlineLevel="0" collapsed="false">
      <c r="A10" s="5" t="n">
        <v>3</v>
      </c>
      <c r="B10" s="5" t="s">
        <v>276</v>
      </c>
      <c r="C10" s="5" t="s">
        <v>280</v>
      </c>
      <c r="D10" s="5" t="s">
        <v>265</v>
      </c>
      <c r="E10" s="7" t="n">
        <v>0</v>
      </c>
      <c r="F10" s="7" t="n">
        <v>600</v>
      </c>
      <c r="G10" s="5" t="s">
        <v>281</v>
      </c>
      <c r="H10" s="5" t="s">
        <v>282</v>
      </c>
      <c r="I10" s="5"/>
    </row>
    <row r="11" customFormat="false" ht="15" hidden="false" customHeight="false" outlineLevel="0" collapsed="false">
      <c r="A11" s="6" t="n">
        <v>3</v>
      </c>
      <c r="B11" s="6" t="s">
        <v>276</v>
      </c>
      <c r="C11" s="6" t="s">
        <v>283</v>
      </c>
      <c r="D11" s="6" t="s">
        <v>265</v>
      </c>
      <c r="E11" s="8" t="n">
        <v>0</v>
      </c>
      <c r="F11" s="8" t="n">
        <v>300</v>
      </c>
      <c r="G11" s="6" t="s">
        <v>274</v>
      </c>
      <c r="H11" s="6" t="s">
        <v>284</v>
      </c>
      <c r="I11" s="6"/>
    </row>
    <row r="12" customFormat="false" ht="15" hidden="false" customHeight="false" outlineLevel="0" collapsed="false">
      <c r="A12" s="5" t="n">
        <v>3</v>
      </c>
      <c r="B12" s="5" t="s">
        <v>276</v>
      </c>
      <c r="C12" s="5" t="s">
        <v>285</v>
      </c>
      <c r="D12" s="5" t="s">
        <v>265</v>
      </c>
      <c r="E12" s="7" t="n">
        <v>0</v>
      </c>
      <c r="F12" s="7" t="n">
        <v>900</v>
      </c>
      <c r="G12" s="5" t="s">
        <v>274</v>
      </c>
      <c r="H12" s="5" t="s">
        <v>286</v>
      </c>
      <c r="I12" s="5"/>
    </row>
    <row r="13" customFormat="false" ht="15" hidden="false" customHeight="false" outlineLevel="0" collapsed="false">
      <c r="A13" s="6" t="n">
        <v>4</v>
      </c>
      <c r="B13" s="6" t="s">
        <v>223</v>
      </c>
      <c r="C13" s="6" t="s">
        <v>287</v>
      </c>
      <c r="D13" s="6" t="s">
        <v>265</v>
      </c>
      <c r="E13" s="8" t="n">
        <v>0</v>
      </c>
      <c r="F13" s="8" t="n">
        <v>250</v>
      </c>
      <c r="G13" s="6" t="s">
        <v>288</v>
      </c>
      <c r="H13" s="6" t="s">
        <v>289</v>
      </c>
      <c r="I13" s="6"/>
    </row>
    <row r="14" customFormat="false" ht="23.85" hidden="false" customHeight="false" outlineLevel="0" collapsed="false">
      <c r="A14" s="5" t="n">
        <v>4</v>
      </c>
      <c r="B14" s="5" t="s">
        <v>223</v>
      </c>
      <c r="C14" s="5" t="s">
        <v>290</v>
      </c>
      <c r="D14" s="5" t="s">
        <v>291</v>
      </c>
      <c r="E14" s="7" t="n">
        <v>200</v>
      </c>
      <c r="F14" s="7" t="n">
        <v>0</v>
      </c>
      <c r="G14" s="5" t="s">
        <v>292</v>
      </c>
      <c r="H14" s="5" t="s">
        <v>293</v>
      </c>
      <c r="I14" s="5"/>
    </row>
    <row r="15" customFormat="false" ht="15" hidden="false" customHeight="false" outlineLevel="0" collapsed="false">
      <c r="A15" s="6" t="n">
        <v>4</v>
      </c>
      <c r="B15" s="6" t="s">
        <v>294</v>
      </c>
      <c r="C15" s="6" t="s">
        <v>295</v>
      </c>
      <c r="D15" s="6" t="s">
        <v>265</v>
      </c>
      <c r="E15" s="8" t="n">
        <v>0</v>
      </c>
      <c r="F15" s="8" t="n">
        <v>130</v>
      </c>
      <c r="G15" s="6" t="s">
        <v>274</v>
      </c>
      <c r="H15" s="6" t="s">
        <v>296</v>
      </c>
      <c r="I15" s="6"/>
    </row>
    <row r="16" customFormat="false" ht="15" hidden="false" customHeight="false" outlineLevel="0" collapsed="false">
      <c r="A16" s="5" t="n">
        <v>4</v>
      </c>
      <c r="B16" s="5" t="s">
        <v>294</v>
      </c>
      <c r="C16" s="5" t="s">
        <v>297</v>
      </c>
      <c r="D16" s="5" t="s">
        <v>265</v>
      </c>
      <c r="E16" s="7" t="n">
        <v>0</v>
      </c>
      <c r="F16" s="7" t="n">
        <v>30</v>
      </c>
      <c r="G16" s="5" t="s">
        <v>274</v>
      </c>
      <c r="H16" s="5" t="s">
        <v>298</v>
      </c>
      <c r="I16" s="5"/>
    </row>
    <row r="17" customFormat="false" ht="15" hidden="false" customHeight="false" outlineLevel="0" collapsed="false">
      <c r="A17" s="6" t="n">
        <v>1</v>
      </c>
      <c r="B17" s="6" t="s">
        <v>299</v>
      </c>
      <c r="C17" s="6" t="s">
        <v>300</v>
      </c>
      <c r="D17" s="6" t="s">
        <v>265</v>
      </c>
      <c r="E17" s="8" t="n">
        <v>0</v>
      </c>
      <c r="F17" s="8" t="n">
        <v>20</v>
      </c>
      <c r="G17" s="6" t="s">
        <v>301</v>
      </c>
      <c r="H17" s="6" t="s">
        <v>302</v>
      </c>
      <c r="I17" s="6"/>
    </row>
    <row r="18" customFormat="false" ht="15" hidden="false" customHeight="false" outlineLevel="0" collapsed="false">
      <c r="A18" s="5" t="n">
        <v>1</v>
      </c>
      <c r="B18" s="5" t="s">
        <v>299</v>
      </c>
      <c r="C18" s="5" t="s">
        <v>303</v>
      </c>
      <c r="D18" s="5" t="s">
        <v>265</v>
      </c>
      <c r="E18" s="7" t="n">
        <v>0</v>
      </c>
      <c r="F18" s="7" t="n">
        <v>25</v>
      </c>
      <c r="G18" s="5" t="s">
        <v>304</v>
      </c>
      <c r="H18" s="5" t="s">
        <v>305</v>
      </c>
      <c r="I18" s="5"/>
    </row>
    <row r="19" customFormat="false" ht="15" hidden="false" customHeight="false" outlineLevel="0" collapsed="false">
      <c r="A19" s="6" t="n">
        <v>1</v>
      </c>
      <c r="B19" s="6" t="s">
        <v>299</v>
      </c>
      <c r="C19" s="6" t="s">
        <v>306</v>
      </c>
      <c r="D19" s="6" t="s">
        <v>265</v>
      </c>
      <c r="E19" s="8" t="n">
        <v>0</v>
      </c>
      <c r="F19" s="8" t="n">
        <v>26</v>
      </c>
      <c r="G19" s="6" t="s">
        <v>307</v>
      </c>
      <c r="H19" s="6" t="s">
        <v>308</v>
      </c>
      <c r="I19" s="6"/>
    </row>
    <row r="20" customFormat="false" ht="15" hidden="false" customHeight="false" outlineLevel="0" collapsed="false">
      <c r="A20" s="5" t="n">
        <v>1</v>
      </c>
      <c r="B20" s="5" t="s">
        <v>299</v>
      </c>
      <c r="C20" s="5" t="s">
        <v>309</v>
      </c>
      <c r="D20" s="5" t="s">
        <v>253</v>
      </c>
      <c r="E20" s="7" t="n">
        <v>0</v>
      </c>
      <c r="F20" s="7" t="n">
        <v>1</v>
      </c>
      <c r="G20" s="5" t="s">
        <v>310</v>
      </c>
      <c r="H20" s="5" t="s">
        <v>311</v>
      </c>
      <c r="I20" s="5"/>
    </row>
    <row r="21" customFormat="false" ht="15" hidden="false" customHeight="false" outlineLevel="0" collapsed="false">
      <c r="A21" s="9"/>
      <c r="B21" s="9"/>
      <c r="C21" s="9" t="s">
        <v>312</v>
      </c>
      <c r="D21" s="9"/>
      <c r="E21" s="10" t="n">
        <f aca="false">SUM(E2:E20)</f>
        <v>575</v>
      </c>
      <c r="F21" s="10" t="n">
        <f aca="false">SUM(F2:F20)</f>
        <v>3102</v>
      </c>
      <c r="G21" s="9"/>
      <c r="H21" s="9"/>
      <c r="I21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40"/>
    <col collapsed="false" customWidth="true" hidden="false" outlineLevel="0" max="7" min="7" style="0" width="22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30" hidden="false" customHeight="true" outlineLevel="0" collapsed="false">
      <c r="A1" s="1" t="s">
        <v>313</v>
      </c>
      <c r="B1" s="1" t="s">
        <v>314</v>
      </c>
      <c r="C1" s="1" t="s">
        <v>244</v>
      </c>
      <c r="D1" s="1" t="s">
        <v>245</v>
      </c>
      <c r="E1" s="1" t="s">
        <v>315</v>
      </c>
      <c r="F1" s="1" t="s">
        <v>247</v>
      </c>
    </row>
    <row r="2" customFormat="false" ht="15" hidden="false" customHeight="false" outlineLevel="0" collapsed="false">
      <c r="A2" s="5" t="s">
        <v>316</v>
      </c>
      <c r="B2" s="5" t="s">
        <v>317</v>
      </c>
      <c r="C2" s="7" t="n">
        <v>0</v>
      </c>
      <c r="D2" s="7" t="n">
        <v>0</v>
      </c>
      <c r="E2" s="7" t="n">
        <f aca="false">C2*12+D2*12</f>
        <v>0</v>
      </c>
      <c r="F2" s="5" t="s">
        <v>318</v>
      </c>
    </row>
    <row r="3" customFormat="false" ht="15" hidden="false" customHeight="false" outlineLevel="0" collapsed="false">
      <c r="A3" s="6" t="s">
        <v>319</v>
      </c>
      <c r="B3" s="6" t="s">
        <v>320</v>
      </c>
      <c r="C3" s="8" t="n">
        <v>25</v>
      </c>
      <c r="D3" s="8" t="n">
        <v>0</v>
      </c>
      <c r="E3" s="8" t="n">
        <f aca="false">C3+D3*12</f>
        <v>25</v>
      </c>
      <c r="F3" s="6" t="s">
        <v>321</v>
      </c>
    </row>
    <row r="4" customFormat="false" ht="15" hidden="false" customHeight="false" outlineLevel="0" collapsed="false">
      <c r="A4" s="5" t="s">
        <v>322</v>
      </c>
      <c r="B4" s="5" t="s">
        <v>323</v>
      </c>
      <c r="C4" s="7" t="n">
        <v>0</v>
      </c>
      <c r="D4" s="7" t="n">
        <v>0</v>
      </c>
      <c r="E4" s="7" t="n">
        <f aca="false">C4+D4*12</f>
        <v>0</v>
      </c>
      <c r="F4" s="5" t="s">
        <v>324</v>
      </c>
    </row>
    <row r="5" customFormat="false" ht="15" hidden="false" customHeight="false" outlineLevel="0" collapsed="false">
      <c r="A5" s="6" t="s">
        <v>325</v>
      </c>
      <c r="B5" s="6" t="s">
        <v>326</v>
      </c>
      <c r="C5" s="8" t="n">
        <v>0</v>
      </c>
      <c r="D5" s="8" t="n">
        <v>320</v>
      </c>
      <c r="E5" s="8" t="n">
        <f aca="false">C5+D5*12</f>
        <v>3840</v>
      </c>
      <c r="F5" s="6" t="s">
        <v>327</v>
      </c>
    </row>
    <row r="6" customFormat="false" ht="15" hidden="false" customHeight="false" outlineLevel="0" collapsed="false">
      <c r="A6" s="5" t="s">
        <v>328</v>
      </c>
      <c r="B6" s="5" t="s">
        <v>329</v>
      </c>
      <c r="C6" s="7" t="n">
        <v>0</v>
      </c>
      <c r="D6" s="7" t="n">
        <v>1520</v>
      </c>
      <c r="E6" s="7" t="n">
        <f aca="false">C6+D6*12</f>
        <v>18240</v>
      </c>
      <c r="F6" s="5" t="s">
        <v>330</v>
      </c>
    </row>
    <row r="7" customFormat="false" ht="15" hidden="false" customHeight="false" outlineLevel="0" collapsed="false">
      <c r="A7" s="6" t="s">
        <v>331</v>
      </c>
      <c r="B7" s="6" t="s">
        <v>332</v>
      </c>
      <c r="C7" s="8" t="n">
        <v>0</v>
      </c>
      <c r="D7" s="8" t="n">
        <v>2620</v>
      </c>
      <c r="E7" s="8" t="n">
        <f aca="false">C7+D7*12</f>
        <v>31440</v>
      </c>
      <c r="F7" s="6" t="s">
        <v>333</v>
      </c>
    </row>
    <row r="8" customFormat="false" ht="15" hidden="false" customHeight="false" outlineLevel="0" collapsed="false">
      <c r="A8" s="5" t="s">
        <v>334</v>
      </c>
      <c r="B8" s="5" t="s">
        <v>335</v>
      </c>
      <c r="C8" s="7" t="n">
        <v>100</v>
      </c>
      <c r="D8" s="7" t="n">
        <v>2870</v>
      </c>
      <c r="E8" s="7" t="n">
        <f aca="false">C8+D8*12</f>
        <v>34540</v>
      </c>
      <c r="F8" s="5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2026-04-26T00:56:26Z</dcterms:created>
  <dc:creator>openpyxl</dc:creator>
  <dc:description/>
  <dc:language>en-US</dc:language>
  <cp:lastModifiedBy/>
  <dcterms:modified xsi:type="dcterms:W3CDTF">2026-04-26T00:56:26Z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